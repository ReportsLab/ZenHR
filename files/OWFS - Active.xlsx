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aianatlegal-my.sharepoint.com/personal/s_zghoul_oneworldip_com/Documents/Desktop/الشركات الأردنية/رواتب واقتطاعات الوظفين/OWFS/الضمان الإجتماعي/"/>
    </mc:Choice>
  </mc:AlternateContent>
  <xr:revisionPtr revIDLastSave="14" documentId="11_4DECED53CB64FF18F55B1250EA3161BAE352D149" xr6:coauthVersionLast="47" xr6:coauthVersionMax="47" xr10:uidLastSave="{8359EFE4-A979-4F83-96E6-74484DDA2B7F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0" i="1" l="1"/>
  <c r="M62" i="1"/>
  <c r="F6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1" i="1"/>
  <c r="M2" i="1"/>
</calcChain>
</file>

<file path=xl/sharedStrings.xml><?xml version="1.0" encoding="utf-8"?>
<sst xmlns="http://schemas.openxmlformats.org/spreadsheetml/2006/main" count="309" uniqueCount="192">
  <si>
    <t>رقم التأمين</t>
  </si>
  <si>
    <t>الإسم الأول</t>
  </si>
  <si>
    <t>اسم الأب</t>
  </si>
  <si>
    <t>اسم الجد</t>
  </si>
  <si>
    <t>اسم العائلة</t>
  </si>
  <si>
    <t>الأجر</t>
  </si>
  <si>
    <t>الرقم الوظيفي</t>
  </si>
  <si>
    <t>رمز المهنه الخطرة</t>
  </si>
  <si>
    <t>نسبة الإقتطاع</t>
  </si>
  <si>
    <t>اروى</t>
  </si>
  <si>
    <t>مروان</t>
  </si>
  <si>
    <t>عبد</t>
  </si>
  <si>
    <t>سرخي</t>
  </si>
  <si>
    <t>بدون تخفيض</t>
  </si>
  <si>
    <t>نادين</t>
  </si>
  <si>
    <t>عماد</t>
  </si>
  <si>
    <t>محمود</t>
  </si>
  <si>
    <t>الرحاحله</t>
  </si>
  <si>
    <t>ياسمين</t>
  </si>
  <si>
    <t>زين العابدين</t>
  </si>
  <si>
    <t>عبد الرحمن</t>
  </si>
  <si>
    <t>حسبان</t>
  </si>
  <si>
    <t>تولين</t>
  </si>
  <si>
    <t>سعيد</t>
  </si>
  <si>
    <t>حسن</t>
  </si>
  <si>
    <t>سرحان</t>
  </si>
  <si>
    <t>رانيا</t>
  </si>
  <si>
    <t>عبد الله</t>
  </si>
  <si>
    <t>سلمان</t>
  </si>
  <si>
    <t>ابو فليفل</t>
  </si>
  <si>
    <t>لينه</t>
  </si>
  <si>
    <t>امجد</t>
  </si>
  <si>
    <t>محمد</t>
  </si>
  <si>
    <t>سليمان</t>
  </si>
  <si>
    <t>رغد</t>
  </si>
  <si>
    <t>هيثم</t>
  </si>
  <si>
    <t>فوزى</t>
  </si>
  <si>
    <t>الفتياني</t>
  </si>
  <si>
    <t>آيه</t>
  </si>
  <si>
    <t>ابو عيسى</t>
  </si>
  <si>
    <t>فاطمه</t>
  </si>
  <si>
    <t>سمير</t>
  </si>
  <si>
    <t>عثمان</t>
  </si>
  <si>
    <t>عرفات</t>
  </si>
  <si>
    <t>بتول</t>
  </si>
  <si>
    <t>منيف</t>
  </si>
  <si>
    <t>عبد الرحيم</t>
  </si>
  <si>
    <t>تفاحه</t>
  </si>
  <si>
    <t>حلا</t>
  </si>
  <si>
    <t>عصام</t>
  </si>
  <si>
    <t>مفيد</t>
  </si>
  <si>
    <t>دريخ</t>
  </si>
  <si>
    <t>فرح</t>
  </si>
  <si>
    <t>رفيق</t>
  </si>
  <si>
    <t>عبد ربه</t>
  </si>
  <si>
    <t>علا</t>
  </si>
  <si>
    <t>كمال</t>
  </si>
  <si>
    <t>امين</t>
  </si>
  <si>
    <t>النعيرات</t>
  </si>
  <si>
    <t>سيرين</t>
  </si>
  <si>
    <t>وليد</t>
  </si>
  <si>
    <t>الحنيطي</t>
  </si>
  <si>
    <t>ميرنا</t>
  </si>
  <si>
    <t>منيب</t>
  </si>
  <si>
    <t>شمس الدين</t>
  </si>
  <si>
    <t>الحموري</t>
  </si>
  <si>
    <t>خوله</t>
  </si>
  <si>
    <t>محرز</t>
  </si>
  <si>
    <t>علي</t>
  </si>
  <si>
    <t>طلول</t>
  </si>
  <si>
    <t>رزان</t>
  </si>
  <si>
    <t>نضال</t>
  </si>
  <si>
    <t>نظير</t>
  </si>
  <si>
    <t>الخاروف</t>
  </si>
  <si>
    <t>نظام</t>
  </si>
  <si>
    <t>حسنى</t>
  </si>
  <si>
    <t>ابوزبيده</t>
  </si>
  <si>
    <t>وفاء</t>
  </si>
  <si>
    <t>شفيق</t>
  </si>
  <si>
    <t>عبدالمعطي</t>
  </si>
  <si>
    <t>سعفان</t>
  </si>
  <si>
    <t>سندس</t>
  </si>
  <si>
    <t>شعبلو</t>
  </si>
  <si>
    <t>ناديه</t>
  </si>
  <si>
    <t>موسى</t>
  </si>
  <si>
    <t>سحيمان</t>
  </si>
  <si>
    <t>الشريقي</t>
  </si>
  <si>
    <t>رنده</t>
  </si>
  <si>
    <t>مؤيد</t>
  </si>
  <si>
    <t>حمادنه</t>
  </si>
  <si>
    <t>رغده</t>
  </si>
  <si>
    <t>هديل</t>
  </si>
  <si>
    <t>محمد عربي</t>
  </si>
  <si>
    <t>ممدوح</t>
  </si>
  <si>
    <t>عرب زاده</t>
  </si>
  <si>
    <t>مرام</t>
  </si>
  <si>
    <t>سامي</t>
  </si>
  <si>
    <t>احمد</t>
  </si>
  <si>
    <t>حمدان</t>
  </si>
  <si>
    <t>ناهد</t>
  </si>
  <si>
    <t>جميل</t>
  </si>
  <si>
    <t>جودت</t>
  </si>
  <si>
    <t>ابو خاص</t>
  </si>
  <si>
    <t>ضياء</t>
  </si>
  <si>
    <t>محمد علي</t>
  </si>
  <si>
    <t>شحاده</t>
  </si>
  <si>
    <t>ابو عوده</t>
  </si>
  <si>
    <t>مهند</t>
  </si>
  <si>
    <t>محمد مامون</t>
  </si>
  <si>
    <t>عارف</t>
  </si>
  <si>
    <t>صلاح</t>
  </si>
  <si>
    <t>صالح</t>
  </si>
  <si>
    <t>زيده</t>
  </si>
  <si>
    <t>لمياء</t>
  </si>
  <si>
    <t>خالد</t>
  </si>
  <si>
    <t>محمد عزالدين</t>
  </si>
  <si>
    <t>الربابعه</t>
  </si>
  <si>
    <t>حنين</t>
  </si>
  <si>
    <t>جمال</t>
  </si>
  <si>
    <t>دعباس</t>
  </si>
  <si>
    <t>اسعد</t>
  </si>
  <si>
    <t>عبد الكريم</t>
  </si>
  <si>
    <t>النجداوى</t>
  </si>
  <si>
    <t>خاروف</t>
  </si>
  <si>
    <t>مروى</t>
  </si>
  <si>
    <t>بلال</t>
  </si>
  <si>
    <t>البنا</t>
  </si>
  <si>
    <t>طلعت</t>
  </si>
  <si>
    <t>عمر</t>
  </si>
  <si>
    <t>باير</t>
  </si>
  <si>
    <t>مزاهره</t>
  </si>
  <si>
    <t>ندى</t>
  </si>
  <si>
    <t>هزاع</t>
  </si>
  <si>
    <t>عليان</t>
  </si>
  <si>
    <t>السوطرى</t>
  </si>
  <si>
    <t>مرح</t>
  </si>
  <si>
    <t>ناصر</t>
  </si>
  <si>
    <t>صبحي</t>
  </si>
  <si>
    <t>لارا</t>
  </si>
  <si>
    <t>مراد</t>
  </si>
  <si>
    <t>الكنش</t>
  </si>
  <si>
    <t>منى</t>
  </si>
  <si>
    <t>خليل</t>
  </si>
  <si>
    <t>جابر</t>
  </si>
  <si>
    <t>انوار</t>
  </si>
  <si>
    <t>كيالي</t>
  </si>
  <si>
    <t>دانا</t>
  </si>
  <si>
    <t>ابراهيم</t>
  </si>
  <si>
    <t>ابو عواد</t>
  </si>
  <si>
    <t>غيداء</t>
  </si>
  <si>
    <t>سلامه</t>
  </si>
  <si>
    <t>الجبلي</t>
  </si>
  <si>
    <t>ربا</t>
  </si>
  <si>
    <t>عميره</t>
  </si>
  <si>
    <t>بيان</t>
  </si>
  <si>
    <t>السلايمه</t>
  </si>
  <si>
    <t>ليلى</t>
  </si>
  <si>
    <t>نبيل</t>
  </si>
  <si>
    <t>عبد القادر</t>
  </si>
  <si>
    <t>رامى</t>
  </si>
  <si>
    <t>طه</t>
  </si>
  <si>
    <t>عبدالجليل</t>
  </si>
  <si>
    <t>داود</t>
  </si>
  <si>
    <t>سمر</t>
  </si>
  <si>
    <t>زياد</t>
  </si>
  <si>
    <t>حسونه</t>
  </si>
  <si>
    <t>رنا</t>
  </si>
  <si>
    <t>عبد الهادى</t>
  </si>
  <si>
    <t>ابو ربيع</t>
  </si>
  <si>
    <t>شدى</t>
  </si>
  <si>
    <t>اسامه</t>
  </si>
  <si>
    <t>ابو طالب</t>
  </si>
  <si>
    <t>اسيل</t>
  </si>
  <si>
    <t>الحديدي</t>
  </si>
  <si>
    <t>بان</t>
  </si>
  <si>
    <t>زهير</t>
  </si>
  <si>
    <t>العبد اللات</t>
  </si>
  <si>
    <t>شهد</t>
  </si>
  <si>
    <t>الزغول</t>
  </si>
  <si>
    <t>بشرى</t>
  </si>
  <si>
    <t>عيسى</t>
  </si>
  <si>
    <t>مصطفى</t>
  </si>
  <si>
    <t>عاصي</t>
  </si>
  <si>
    <t>مروه</t>
  </si>
  <si>
    <t>طالب</t>
  </si>
  <si>
    <t>عبد المجيد</t>
  </si>
  <si>
    <t>القيسي</t>
  </si>
  <si>
    <t>لبنى</t>
  </si>
  <si>
    <t>بني عيسى</t>
  </si>
  <si>
    <t>تالا</t>
  </si>
  <si>
    <t>تيسير</t>
  </si>
  <si>
    <t>جويلس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</si>
</sst>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.000_);_(* \(#,##0.000\);_(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 applyNumberFormat="1"/>
    <xf numFmtId="0" fontId="0" fillId="0" borderId="1" xfId="0" applyNumberFormat="1" applyBorder="1"/>
    <xf numFmtId="43" fontId="0" fillId="0" borderId="0" xfId="1" applyFont="1"/>
    <xf numFmtId="0" fontId="0" fillId="2" borderId="0" xfId="0" applyNumberFormat="1" applyFill="1"/>
    <xf numFmtId="165" fontId="0" fillId="0" borderId="0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tabSelected="1" workbookViewId="0">
      <selection activeCell="P59" sqref="P59"/>
    </sheetView>
  </sheetViews>
  <sheetFormatPr defaultRowHeight="14.4" x14ac:dyDescent="0.3"/>
  <cols>
    <col min="1" max="1" width="10.8984375" bestFit="1" customWidth="1"/>
    <col min="6" max="6" width="10.09765625" bestFit="1" customWidth="1"/>
    <col min="13" max="13" width="10.09765625" bestFit="1" customWidth="1"/>
  </cols>
  <sheetData>
    <row r="1" spans="1:13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3" ht="15.6" x14ac:dyDescent="0.3">
      <c r="A2">
        <v>2000025378</v>
      </c>
      <c r="B2" t="s">
        <v>9</v>
      </c>
      <c r="C2" t="s">
        <v>10</v>
      </c>
      <c r="D2" t="s">
        <v>11</v>
      </c>
      <c r="E2" t="s">
        <v>12</v>
      </c>
      <c r="F2">
        <v>450</v>
      </c>
      <c r="I2" t="s">
        <v>13</v>
      </c>
      <c r="K2">
        <v>1</v>
      </c>
      <c r="M2">
        <f>F2*21.75%</f>
        <v>97.875</v>
      </c>
    </row>
    <row r="3" spans="1:13" ht="15.6" x14ac:dyDescent="0.3">
      <c r="A3">
        <v>2000075277</v>
      </c>
      <c r="B3" t="s">
        <v>14</v>
      </c>
      <c r="C3" t="s">
        <v>15</v>
      </c>
      <c r="D3" t="s">
        <v>16</v>
      </c>
      <c r="E3" t="s">
        <v>17</v>
      </c>
      <c r="F3">
        <v>525</v>
      </c>
      <c r="I3" t="s">
        <v>13</v>
      </c>
      <c r="K3">
        <v>2</v>
      </c>
      <c r="M3">
        <f t="shared" ref="M3:M61" si="0">F3*21.75%</f>
        <v>114.1875</v>
      </c>
    </row>
    <row r="4" spans="1:13" ht="15.6" x14ac:dyDescent="0.3">
      <c r="A4">
        <v>2000078733</v>
      </c>
      <c r="B4" t="s">
        <v>18</v>
      </c>
      <c r="C4" t="s">
        <v>19</v>
      </c>
      <c r="D4" t="s">
        <v>20</v>
      </c>
      <c r="E4" t="s">
        <v>21</v>
      </c>
      <c r="F4">
        <v>385</v>
      </c>
      <c r="I4" t="s">
        <v>13</v>
      </c>
      <c r="K4">
        <v>3</v>
      </c>
      <c r="M4">
        <f t="shared" si="0"/>
        <v>83.737499999999997</v>
      </c>
    </row>
    <row r="5" spans="1:13" ht="15.6" x14ac:dyDescent="0.3">
      <c r="A5">
        <v>2000087704</v>
      </c>
      <c r="B5" t="s">
        <v>22</v>
      </c>
      <c r="C5" t="s">
        <v>23</v>
      </c>
      <c r="D5" t="s">
        <v>24</v>
      </c>
      <c r="E5" t="s">
        <v>25</v>
      </c>
      <c r="F5">
        <v>525</v>
      </c>
      <c r="I5" t="s">
        <v>13</v>
      </c>
      <c r="K5">
        <v>4</v>
      </c>
      <c r="M5">
        <f t="shared" si="0"/>
        <v>114.1875</v>
      </c>
    </row>
    <row r="6" spans="1:13" ht="15.6" x14ac:dyDescent="0.3">
      <c r="A6">
        <v>2000113252</v>
      </c>
      <c r="B6" t="s">
        <v>26</v>
      </c>
      <c r="C6" t="s">
        <v>27</v>
      </c>
      <c r="D6" t="s">
        <v>28</v>
      </c>
      <c r="E6" t="s">
        <v>29</v>
      </c>
      <c r="F6">
        <v>600</v>
      </c>
      <c r="I6" t="s">
        <v>13</v>
      </c>
      <c r="K6">
        <v>5</v>
      </c>
      <c r="M6">
        <f t="shared" si="0"/>
        <v>130.5</v>
      </c>
    </row>
    <row r="7" spans="1:13" ht="15.6" x14ac:dyDescent="0.3">
      <c r="A7">
        <v>2000138418</v>
      </c>
      <c r="B7" t="s">
        <v>30</v>
      </c>
      <c r="C7" t="s">
        <v>31</v>
      </c>
      <c r="D7" t="s">
        <v>32</v>
      </c>
      <c r="E7" t="s">
        <v>33</v>
      </c>
      <c r="F7">
        <v>600</v>
      </c>
      <c r="I7" t="s">
        <v>13</v>
      </c>
      <c r="K7">
        <v>6</v>
      </c>
      <c r="M7">
        <f t="shared" si="0"/>
        <v>130.5</v>
      </c>
    </row>
    <row r="8" spans="1:13" ht="15.6" x14ac:dyDescent="0.3">
      <c r="A8">
        <v>2000185276</v>
      </c>
      <c r="B8" t="s">
        <v>34</v>
      </c>
      <c r="C8" t="s">
        <v>35</v>
      </c>
      <c r="D8" t="s">
        <v>36</v>
      </c>
      <c r="E8" t="s">
        <v>37</v>
      </c>
      <c r="F8">
        <v>600</v>
      </c>
      <c r="I8" t="s">
        <v>13</v>
      </c>
      <c r="K8">
        <v>7</v>
      </c>
      <c r="M8">
        <f t="shared" si="0"/>
        <v>130.5</v>
      </c>
    </row>
    <row r="9" spans="1:13" ht="15.6" x14ac:dyDescent="0.3">
      <c r="A9">
        <v>2000377872</v>
      </c>
      <c r="B9" t="s">
        <v>38</v>
      </c>
      <c r="C9" t="s">
        <v>24</v>
      </c>
      <c r="D9" t="s">
        <v>32</v>
      </c>
      <c r="E9" t="s">
        <v>39</v>
      </c>
      <c r="F9">
        <v>400</v>
      </c>
      <c r="I9" t="s">
        <v>13</v>
      </c>
      <c r="K9">
        <v>8</v>
      </c>
      <c r="M9">
        <f t="shared" si="0"/>
        <v>87</v>
      </c>
    </row>
    <row r="10" spans="1:13" ht="15.6" x14ac:dyDescent="0.3">
      <c r="A10">
        <v>2000401535</v>
      </c>
      <c r="B10" t="s">
        <v>40</v>
      </c>
      <c r="C10" t="s">
        <v>41</v>
      </c>
      <c r="D10" t="s">
        <v>42</v>
      </c>
      <c r="E10" t="s">
        <v>43</v>
      </c>
      <c r="F10">
        <v>400</v>
      </c>
      <c r="I10" t="s">
        <v>13</v>
      </c>
      <c r="K10">
        <v>9</v>
      </c>
      <c r="M10">
        <f t="shared" si="0"/>
        <v>87</v>
      </c>
    </row>
    <row r="11" spans="1:13" ht="15.6" x14ac:dyDescent="0.3">
      <c r="A11">
        <v>2000487658</v>
      </c>
      <c r="B11" t="s">
        <v>44</v>
      </c>
      <c r="C11" t="s">
        <v>45</v>
      </c>
      <c r="D11" t="s">
        <v>46</v>
      </c>
      <c r="E11" t="s">
        <v>47</v>
      </c>
      <c r="F11">
        <v>400</v>
      </c>
      <c r="I11" t="s">
        <v>13</v>
      </c>
      <c r="K11">
        <v>10</v>
      </c>
      <c r="M11">
        <f t="shared" si="0"/>
        <v>87</v>
      </c>
    </row>
    <row r="12" spans="1:13" ht="15.6" x14ac:dyDescent="0.3">
      <c r="A12">
        <v>2000511585</v>
      </c>
      <c r="B12" t="s">
        <v>48</v>
      </c>
      <c r="C12" t="s">
        <v>49</v>
      </c>
      <c r="D12" t="s">
        <v>50</v>
      </c>
      <c r="E12" t="s">
        <v>51</v>
      </c>
      <c r="F12">
        <v>350</v>
      </c>
      <c r="I12" t="s">
        <v>13</v>
      </c>
      <c r="K12">
        <v>11</v>
      </c>
      <c r="M12">
        <f t="shared" si="0"/>
        <v>76.125</v>
      </c>
    </row>
    <row r="13" spans="1:13" ht="15.6" x14ac:dyDescent="0.3">
      <c r="A13">
        <v>2000563569</v>
      </c>
      <c r="B13" t="s">
        <v>52</v>
      </c>
      <c r="C13" t="s">
        <v>15</v>
      </c>
      <c r="D13" t="s">
        <v>53</v>
      </c>
      <c r="E13" t="s">
        <v>54</v>
      </c>
      <c r="F13">
        <v>350</v>
      </c>
      <c r="I13" t="s">
        <v>13</v>
      </c>
      <c r="K13">
        <v>12</v>
      </c>
      <c r="M13">
        <f t="shared" si="0"/>
        <v>76.125</v>
      </c>
    </row>
    <row r="14" spans="1:13" ht="15.6" x14ac:dyDescent="0.3">
      <c r="A14">
        <v>2000642994</v>
      </c>
      <c r="B14" t="s">
        <v>55</v>
      </c>
      <c r="C14" t="s">
        <v>56</v>
      </c>
      <c r="D14" t="s">
        <v>57</v>
      </c>
      <c r="E14" t="s">
        <v>58</v>
      </c>
      <c r="F14">
        <v>350</v>
      </c>
      <c r="I14" t="s">
        <v>13</v>
      </c>
      <c r="K14">
        <v>13</v>
      </c>
      <c r="M14">
        <f t="shared" si="0"/>
        <v>76.125</v>
      </c>
    </row>
    <row r="15" spans="1:13" ht="15.6" x14ac:dyDescent="0.3">
      <c r="A15">
        <v>2000726782</v>
      </c>
      <c r="B15" t="s">
        <v>59</v>
      </c>
      <c r="C15" t="s">
        <v>60</v>
      </c>
      <c r="D15" t="s">
        <v>23</v>
      </c>
      <c r="E15" t="s">
        <v>61</v>
      </c>
      <c r="F15">
        <v>350</v>
      </c>
      <c r="I15" t="s">
        <v>13</v>
      </c>
      <c r="K15">
        <v>14</v>
      </c>
      <c r="M15">
        <f t="shared" si="0"/>
        <v>76.125</v>
      </c>
    </row>
    <row r="16" spans="1:13" ht="15.6" x14ac:dyDescent="0.3">
      <c r="A16">
        <v>2003459369</v>
      </c>
      <c r="B16" t="s">
        <v>62</v>
      </c>
      <c r="C16" t="s">
        <v>63</v>
      </c>
      <c r="D16" t="s">
        <v>64</v>
      </c>
      <c r="E16" t="s">
        <v>65</v>
      </c>
      <c r="F16">
        <v>1000</v>
      </c>
      <c r="I16" t="s">
        <v>13</v>
      </c>
      <c r="K16">
        <v>15</v>
      </c>
      <c r="M16">
        <f t="shared" si="0"/>
        <v>217.5</v>
      </c>
    </row>
    <row r="17" spans="1:13" ht="15.6" x14ac:dyDescent="0.3">
      <c r="A17">
        <v>2005289310</v>
      </c>
      <c r="B17" t="s">
        <v>66</v>
      </c>
      <c r="C17" t="s">
        <v>67</v>
      </c>
      <c r="D17" t="s">
        <v>68</v>
      </c>
      <c r="E17" t="s">
        <v>69</v>
      </c>
      <c r="F17">
        <v>650</v>
      </c>
      <c r="I17" t="s">
        <v>13</v>
      </c>
      <c r="K17">
        <v>16</v>
      </c>
      <c r="M17">
        <f t="shared" si="0"/>
        <v>141.375</v>
      </c>
    </row>
    <row r="18" spans="1:13" ht="15.6" x14ac:dyDescent="0.3">
      <c r="A18">
        <v>2005304656</v>
      </c>
      <c r="B18" t="s">
        <v>70</v>
      </c>
      <c r="C18" t="s">
        <v>71</v>
      </c>
      <c r="D18" t="s">
        <v>72</v>
      </c>
      <c r="E18" t="s">
        <v>73</v>
      </c>
      <c r="F18">
        <v>300</v>
      </c>
      <c r="I18" t="s">
        <v>13</v>
      </c>
      <c r="K18">
        <v>17</v>
      </c>
      <c r="M18">
        <f t="shared" si="0"/>
        <v>65.25</v>
      </c>
    </row>
    <row r="19" spans="1:13" ht="15.6" x14ac:dyDescent="0.3">
      <c r="A19">
        <v>4012141866</v>
      </c>
      <c r="B19" t="s">
        <v>34</v>
      </c>
      <c r="C19" t="s">
        <v>74</v>
      </c>
      <c r="D19" t="s">
        <v>75</v>
      </c>
      <c r="E19" t="s">
        <v>76</v>
      </c>
      <c r="F19">
        <v>600</v>
      </c>
      <c r="I19" t="s">
        <v>13</v>
      </c>
      <c r="K19">
        <v>18</v>
      </c>
      <c r="M19">
        <f t="shared" si="0"/>
        <v>130.5</v>
      </c>
    </row>
    <row r="20" spans="1:13" ht="15.6" x14ac:dyDescent="0.3">
      <c r="A20">
        <v>9792011723</v>
      </c>
      <c r="B20" t="s">
        <v>77</v>
      </c>
      <c r="C20" t="s">
        <v>78</v>
      </c>
      <c r="D20" t="s">
        <v>79</v>
      </c>
      <c r="E20" t="s">
        <v>80</v>
      </c>
      <c r="F20">
        <v>675</v>
      </c>
      <c r="I20" t="s">
        <v>13</v>
      </c>
      <c r="K20">
        <v>19</v>
      </c>
      <c r="M20">
        <f t="shared" si="0"/>
        <v>146.8125</v>
      </c>
    </row>
    <row r="21" spans="1:13" ht="15.6" x14ac:dyDescent="0.3">
      <c r="A21">
        <v>9812008025</v>
      </c>
      <c r="B21" t="s">
        <v>81</v>
      </c>
      <c r="C21" t="s">
        <v>23</v>
      </c>
      <c r="D21" t="s">
        <v>32</v>
      </c>
      <c r="E21" t="s">
        <v>82</v>
      </c>
      <c r="F21">
        <v>1500</v>
      </c>
      <c r="I21" t="s">
        <v>13</v>
      </c>
      <c r="K21">
        <v>20</v>
      </c>
      <c r="M21">
        <f t="shared" si="0"/>
        <v>326.25</v>
      </c>
    </row>
    <row r="22" spans="1:13" ht="15.6" x14ac:dyDescent="0.3">
      <c r="A22">
        <v>9812008228</v>
      </c>
      <c r="B22" t="s">
        <v>83</v>
      </c>
      <c r="C22" t="s">
        <v>84</v>
      </c>
      <c r="D22" t="s">
        <v>85</v>
      </c>
      <c r="E22" t="s">
        <v>86</v>
      </c>
      <c r="F22">
        <v>1125</v>
      </c>
      <c r="I22" t="s">
        <v>13</v>
      </c>
      <c r="K22">
        <v>21</v>
      </c>
      <c r="M22">
        <f t="shared" si="0"/>
        <v>244.6875</v>
      </c>
    </row>
    <row r="23" spans="1:13" ht="15.6" x14ac:dyDescent="0.3">
      <c r="A23">
        <v>9812009978</v>
      </c>
      <c r="B23" t="s">
        <v>87</v>
      </c>
      <c r="C23" t="s">
        <v>88</v>
      </c>
      <c r="D23" t="s">
        <v>33</v>
      </c>
      <c r="E23" t="s">
        <v>89</v>
      </c>
      <c r="F23">
        <v>2475</v>
      </c>
      <c r="I23" t="s">
        <v>13</v>
      </c>
      <c r="K23">
        <v>22</v>
      </c>
      <c r="M23">
        <f t="shared" si="0"/>
        <v>538.3125</v>
      </c>
    </row>
    <row r="24" spans="1:13" ht="15.6" x14ac:dyDescent="0.3">
      <c r="A24">
        <v>9822007801</v>
      </c>
      <c r="B24" t="s">
        <v>90</v>
      </c>
      <c r="C24" t="s">
        <v>88</v>
      </c>
      <c r="D24" t="s">
        <v>33</v>
      </c>
      <c r="E24" t="s">
        <v>89</v>
      </c>
      <c r="F24">
        <v>1650</v>
      </c>
      <c r="I24" t="s">
        <v>13</v>
      </c>
      <c r="K24">
        <v>23</v>
      </c>
      <c r="M24">
        <f t="shared" si="0"/>
        <v>358.875</v>
      </c>
    </row>
    <row r="25" spans="1:13" ht="15.6" x14ac:dyDescent="0.3">
      <c r="A25">
        <v>9842019699</v>
      </c>
      <c r="B25" t="s">
        <v>91</v>
      </c>
      <c r="C25" t="s">
        <v>92</v>
      </c>
      <c r="D25" t="s">
        <v>93</v>
      </c>
      <c r="E25" t="s">
        <v>94</v>
      </c>
      <c r="F25">
        <v>1000</v>
      </c>
      <c r="I25" t="s">
        <v>13</v>
      </c>
      <c r="K25">
        <v>24</v>
      </c>
      <c r="M25">
        <f t="shared" si="0"/>
        <v>217.5</v>
      </c>
    </row>
    <row r="26" spans="1:13" ht="15.6" x14ac:dyDescent="0.3">
      <c r="A26">
        <v>9852032085</v>
      </c>
      <c r="B26" t="s">
        <v>95</v>
      </c>
      <c r="C26" t="s">
        <v>96</v>
      </c>
      <c r="D26" t="s">
        <v>97</v>
      </c>
      <c r="E26" t="s">
        <v>98</v>
      </c>
      <c r="F26">
        <v>725</v>
      </c>
      <c r="I26" t="s">
        <v>13</v>
      </c>
      <c r="K26">
        <v>25</v>
      </c>
      <c r="M26">
        <f t="shared" si="0"/>
        <v>157.6875</v>
      </c>
    </row>
    <row r="27" spans="1:13" ht="15.6" x14ac:dyDescent="0.3">
      <c r="A27">
        <v>9862022728</v>
      </c>
      <c r="B27" t="s">
        <v>99</v>
      </c>
      <c r="C27" t="s">
        <v>100</v>
      </c>
      <c r="D27" t="s">
        <v>101</v>
      </c>
      <c r="E27" t="s">
        <v>102</v>
      </c>
      <c r="F27">
        <v>1320</v>
      </c>
      <c r="I27" t="s">
        <v>13</v>
      </c>
      <c r="K27">
        <v>26</v>
      </c>
      <c r="M27">
        <f t="shared" si="0"/>
        <v>287.10000000000002</v>
      </c>
    </row>
    <row r="28" spans="1:13" ht="15.6" x14ac:dyDescent="0.3">
      <c r="A28">
        <v>9871043140</v>
      </c>
      <c r="B28" t="s">
        <v>103</v>
      </c>
      <c r="C28" t="s">
        <v>104</v>
      </c>
      <c r="D28" t="s">
        <v>105</v>
      </c>
      <c r="E28" t="s">
        <v>106</v>
      </c>
      <c r="F28">
        <v>1425</v>
      </c>
      <c r="I28" t="s">
        <v>13</v>
      </c>
      <c r="K28">
        <v>27</v>
      </c>
      <c r="M28">
        <f t="shared" si="0"/>
        <v>309.9375</v>
      </c>
    </row>
    <row r="29" spans="1:13" ht="15.6" x14ac:dyDescent="0.3">
      <c r="A29">
        <v>9891035679</v>
      </c>
      <c r="B29" t="s">
        <v>107</v>
      </c>
      <c r="C29" t="s">
        <v>108</v>
      </c>
      <c r="D29" t="s">
        <v>109</v>
      </c>
      <c r="E29" t="s">
        <v>110</v>
      </c>
      <c r="F29">
        <v>1150</v>
      </c>
      <c r="I29" t="s">
        <v>13</v>
      </c>
      <c r="K29">
        <v>28</v>
      </c>
      <c r="M29">
        <f t="shared" si="0"/>
        <v>250.125</v>
      </c>
    </row>
    <row r="30" spans="1:13" ht="15.6" x14ac:dyDescent="0.3">
      <c r="A30">
        <v>9902002460</v>
      </c>
      <c r="B30" t="s">
        <v>40</v>
      </c>
      <c r="C30" t="s">
        <v>97</v>
      </c>
      <c r="D30" t="s">
        <v>111</v>
      </c>
      <c r="E30" t="s">
        <v>112</v>
      </c>
      <c r="F30">
        <v>450</v>
      </c>
      <c r="I30" t="s">
        <v>13</v>
      </c>
      <c r="K30">
        <v>29</v>
      </c>
      <c r="M30">
        <f t="shared" si="0"/>
        <v>97.875</v>
      </c>
    </row>
    <row r="31" spans="1:13" ht="15.6" x14ac:dyDescent="0.3">
      <c r="A31">
        <v>9902010420</v>
      </c>
      <c r="B31" t="s">
        <v>113</v>
      </c>
      <c r="C31" t="s">
        <v>114</v>
      </c>
      <c r="D31" t="s">
        <v>115</v>
      </c>
      <c r="E31" t="s">
        <v>116</v>
      </c>
      <c r="F31">
        <v>600</v>
      </c>
      <c r="I31" t="s">
        <v>13</v>
      </c>
      <c r="K31">
        <v>30</v>
      </c>
      <c r="M31">
        <f t="shared" si="0"/>
        <v>130.5</v>
      </c>
    </row>
    <row r="32" spans="1:13" ht="15.6" x14ac:dyDescent="0.3">
      <c r="A32">
        <v>9902016520</v>
      </c>
      <c r="B32" t="s">
        <v>117</v>
      </c>
      <c r="C32" t="s">
        <v>118</v>
      </c>
      <c r="D32" t="s">
        <v>97</v>
      </c>
      <c r="E32" t="s">
        <v>119</v>
      </c>
      <c r="F32">
        <v>650</v>
      </c>
      <c r="I32" t="s">
        <v>13</v>
      </c>
      <c r="K32">
        <v>31</v>
      </c>
      <c r="M32">
        <f t="shared" si="0"/>
        <v>141.375</v>
      </c>
    </row>
    <row r="33" spans="1:13" ht="15.6" x14ac:dyDescent="0.3">
      <c r="A33">
        <v>9902016745</v>
      </c>
      <c r="B33" t="s">
        <v>18</v>
      </c>
      <c r="C33" t="s">
        <v>120</v>
      </c>
      <c r="D33" t="s">
        <v>121</v>
      </c>
      <c r="E33" t="s">
        <v>122</v>
      </c>
      <c r="F33">
        <v>650</v>
      </c>
      <c r="I33" t="s">
        <v>13</v>
      </c>
      <c r="K33">
        <v>32</v>
      </c>
      <c r="M33">
        <f t="shared" si="0"/>
        <v>141.375</v>
      </c>
    </row>
    <row r="34" spans="1:13" ht="15.6" x14ac:dyDescent="0.3">
      <c r="A34">
        <v>9911199228</v>
      </c>
      <c r="B34" t="s">
        <v>107</v>
      </c>
      <c r="C34" t="s">
        <v>71</v>
      </c>
      <c r="D34" t="s">
        <v>72</v>
      </c>
      <c r="E34" t="s">
        <v>123</v>
      </c>
      <c r="F34">
        <v>500</v>
      </c>
      <c r="I34" t="s">
        <v>13</v>
      </c>
      <c r="K34">
        <v>33</v>
      </c>
      <c r="M34">
        <f t="shared" si="0"/>
        <v>108.75</v>
      </c>
    </row>
    <row r="35" spans="1:13" ht="15.6" x14ac:dyDescent="0.3">
      <c r="A35">
        <v>9912037397</v>
      </c>
      <c r="B35" t="s">
        <v>124</v>
      </c>
      <c r="C35" t="s">
        <v>125</v>
      </c>
      <c r="D35" t="s">
        <v>16</v>
      </c>
      <c r="E35" t="s">
        <v>126</v>
      </c>
      <c r="F35">
        <v>900</v>
      </c>
      <c r="I35" t="s">
        <v>13</v>
      </c>
      <c r="K35">
        <v>34</v>
      </c>
      <c r="M35">
        <f t="shared" si="0"/>
        <v>195.75</v>
      </c>
    </row>
    <row r="36" spans="1:13" ht="15.6" x14ac:dyDescent="0.3">
      <c r="A36">
        <v>9921199310</v>
      </c>
      <c r="B36" t="s">
        <v>72</v>
      </c>
      <c r="C36" t="s">
        <v>71</v>
      </c>
      <c r="D36" t="s">
        <v>72</v>
      </c>
      <c r="E36" t="s">
        <v>123</v>
      </c>
      <c r="F36">
        <v>972</v>
      </c>
      <c r="I36" t="s">
        <v>13</v>
      </c>
      <c r="K36">
        <v>35</v>
      </c>
      <c r="M36">
        <f t="shared" si="0"/>
        <v>211.41</v>
      </c>
    </row>
    <row r="37" spans="1:13" ht="15.6" x14ac:dyDescent="0.3">
      <c r="A37">
        <v>9932009881</v>
      </c>
      <c r="B37" t="s">
        <v>34</v>
      </c>
      <c r="C37" t="s">
        <v>127</v>
      </c>
      <c r="D37" t="s">
        <v>24</v>
      </c>
      <c r="E37" t="s">
        <v>128</v>
      </c>
      <c r="F37">
        <v>1000</v>
      </c>
      <c r="I37" t="s">
        <v>13</v>
      </c>
      <c r="K37">
        <v>36</v>
      </c>
      <c r="M37">
        <f t="shared" si="0"/>
        <v>217.5</v>
      </c>
    </row>
    <row r="38" spans="1:13" ht="15.6" x14ac:dyDescent="0.3">
      <c r="A38">
        <v>9932065247</v>
      </c>
      <c r="B38" t="s">
        <v>77</v>
      </c>
      <c r="C38" t="s">
        <v>32</v>
      </c>
      <c r="D38" t="s">
        <v>129</v>
      </c>
      <c r="E38" t="s">
        <v>130</v>
      </c>
      <c r="F38">
        <v>350</v>
      </c>
      <c r="I38" t="s">
        <v>13</v>
      </c>
      <c r="K38">
        <v>37</v>
      </c>
      <c r="M38">
        <f t="shared" si="0"/>
        <v>76.125</v>
      </c>
    </row>
    <row r="39" spans="1:13" ht="15.6" x14ac:dyDescent="0.3">
      <c r="A39">
        <v>9942001417</v>
      </c>
      <c r="B39" t="s">
        <v>131</v>
      </c>
      <c r="C39" t="s">
        <v>132</v>
      </c>
      <c r="D39" t="s">
        <v>100</v>
      </c>
      <c r="E39" t="s">
        <v>133</v>
      </c>
      <c r="F39">
        <v>500</v>
      </c>
      <c r="I39" t="s">
        <v>13</v>
      </c>
      <c r="K39">
        <v>38</v>
      </c>
      <c r="M39">
        <f t="shared" si="0"/>
        <v>108.75</v>
      </c>
    </row>
    <row r="40" spans="1:13" ht="15.6" x14ac:dyDescent="0.3">
      <c r="A40">
        <v>9942022462</v>
      </c>
      <c r="B40" t="s">
        <v>52</v>
      </c>
      <c r="C40" t="s">
        <v>23</v>
      </c>
      <c r="D40" t="s">
        <v>33</v>
      </c>
      <c r="E40" t="s">
        <v>134</v>
      </c>
      <c r="F40">
        <v>900</v>
      </c>
      <c r="I40" t="s">
        <v>13</v>
      </c>
      <c r="K40">
        <v>39</v>
      </c>
      <c r="M40">
        <f t="shared" si="0"/>
        <v>195.75</v>
      </c>
    </row>
    <row r="41" spans="1:13" ht="15.6" x14ac:dyDescent="0.3">
      <c r="A41">
        <v>9952006301</v>
      </c>
      <c r="B41" t="s">
        <v>135</v>
      </c>
      <c r="C41" t="s">
        <v>136</v>
      </c>
      <c r="D41" t="s">
        <v>137</v>
      </c>
      <c r="E41" t="s">
        <v>24</v>
      </c>
      <c r="F41">
        <v>775</v>
      </c>
      <c r="I41" t="s">
        <v>13</v>
      </c>
      <c r="K41">
        <v>40</v>
      </c>
      <c r="M41">
        <f t="shared" si="0"/>
        <v>168.5625</v>
      </c>
    </row>
    <row r="42" spans="1:13" ht="15.6" x14ac:dyDescent="0.3">
      <c r="A42">
        <v>9952009231</v>
      </c>
      <c r="B42" t="s">
        <v>138</v>
      </c>
      <c r="C42" t="s">
        <v>139</v>
      </c>
      <c r="D42" t="s">
        <v>32</v>
      </c>
      <c r="E42" t="s">
        <v>140</v>
      </c>
      <c r="F42">
        <v>420</v>
      </c>
      <c r="I42" t="s">
        <v>13</v>
      </c>
      <c r="K42">
        <v>41</v>
      </c>
      <c r="M42">
        <f t="shared" si="0"/>
        <v>91.35</v>
      </c>
    </row>
    <row r="43" spans="1:13" ht="15.6" x14ac:dyDescent="0.3">
      <c r="A43">
        <v>9952015580</v>
      </c>
      <c r="B43" t="s">
        <v>141</v>
      </c>
      <c r="C43" t="s">
        <v>142</v>
      </c>
      <c r="D43" t="s">
        <v>32</v>
      </c>
      <c r="E43" t="s">
        <v>143</v>
      </c>
      <c r="F43">
        <v>525</v>
      </c>
      <c r="I43" t="s">
        <v>13</v>
      </c>
      <c r="K43">
        <v>42</v>
      </c>
      <c r="M43">
        <f t="shared" si="0"/>
        <v>114.1875</v>
      </c>
    </row>
    <row r="44" spans="1:13" ht="15.6" x14ac:dyDescent="0.3">
      <c r="A44">
        <v>9952017666</v>
      </c>
      <c r="B44" t="s">
        <v>144</v>
      </c>
      <c r="C44" t="s">
        <v>118</v>
      </c>
      <c r="D44" t="s">
        <v>142</v>
      </c>
      <c r="E44" t="s">
        <v>145</v>
      </c>
      <c r="F44">
        <v>450</v>
      </c>
      <c r="I44" t="s">
        <v>13</v>
      </c>
      <c r="K44">
        <v>43</v>
      </c>
      <c r="M44">
        <f t="shared" si="0"/>
        <v>97.875</v>
      </c>
    </row>
    <row r="45" spans="1:13" ht="15.6" x14ac:dyDescent="0.3">
      <c r="A45">
        <v>9952018879</v>
      </c>
      <c r="B45" t="s">
        <v>70</v>
      </c>
      <c r="C45" t="s">
        <v>68</v>
      </c>
      <c r="D45" t="s">
        <v>24</v>
      </c>
      <c r="E45" t="s">
        <v>143</v>
      </c>
      <c r="F45">
        <v>750</v>
      </c>
      <c r="I45" t="s">
        <v>13</v>
      </c>
      <c r="K45">
        <v>44</v>
      </c>
      <c r="M45">
        <f t="shared" si="0"/>
        <v>163.125</v>
      </c>
    </row>
    <row r="46" spans="1:13" ht="15.6" x14ac:dyDescent="0.3">
      <c r="A46">
        <v>9952051008</v>
      </c>
      <c r="B46" t="s">
        <v>146</v>
      </c>
      <c r="C46" t="s">
        <v>118</v>
      </c>
      <c r="D46" t="s">
        <v>147</v>
      </c>
      <c r="E46" t="s">
        <v>148</v>
      </c>
      <c r="F46">
        <v>550</v>
      </c>
      <c r="I46" t="s">
        <v>13</v>
      </c>
      <c r="K46">
        <v>45</v>
      </c>
      <c r="M46">
        <f t="shared" si="0"/>
        <v>119.625</v>
      </c>
    </row>
    <row r="47" spans="1:13" ht="15.6" x14ac:dyDescent="0.3">
      <c r="A47">
        <v>9952051786</v>
      </c>
      <c r="B47" t="s">
        <v>149</v>
      </c>
      <c r="C47" t="s">
        <v>150</v>
      </c>
      <c r="D47" t="s">
        <v>68</v>
      </c>
      <c r="E47" t="s">
        <v>151</v>
      </c>
      <c r="F47">
        <v>550</v>
      </c>
      <c r="I47" t="s">
        <v>13</v>
      </c>
      <c r="K47">
        <v>46</v>
      </c>
      <c r="M47">
        <f t="shared" si="0"/>
        <v>119.625</v>
      </c>
    </row>
    <row r="48" spans="1:13" ht="15.6" x14ac:dyDescent="0.3">
      <c r="A48">
        <v>9962004465</v>
      </c>
      <c r="B48" t="s">
        <v>152</v>
      </c>
      <c r="C48" t="s">
        <v>97</v>
      </c>
      <c r="D48" t="s">
        <v>32</v>
      </c>
      <c r="E48" t="s">
        <v>153</v>
      </c>
      <c r="F48">
        <v>650</v>
      </c>
      <c r="I48" t="s">
        <v>13</v>
      </c>
      <c r="K48">
        <v>47</v>
      </c>
      <c r="M48">
        <f t="shared" si="0"/>
        <v>141.375</v>
      </c>
    </row>
    <row r="49" spans="1:13" ht="15.6" x14ac:dyDescent="0.3">
      <c r="A49">
        <v>9962060024</v>
      </c>
      <c r="B49" t="s">
        <v>154</v>
      </c>
      <c r="C49" t="s">
        <v>41</v>
      </c>
      <c r="D49" t="s">
        <v>23</v>
      </c>
      <c r="E49" t="s">
        <v>155</v>
      </c>
      <c r="F49">
        <v>1500</v>
      </c>
      <c r="I49" t="s">
        <v>13</v>
      </c>
      <c r="K49">
        <v>48</v>
      </c>
      <c r="M49">
        <f t="shared" si="0"/>
        <v>326.25</v>
      </c>
    </row>
    <row r="50" spans="1:13" ht="15.6" x14ac:dyDescent="0.3">
      <c r="A50">
        <v>9962099641</v>
      </c>
      <c r="B50" t="s">
        <v>156</v>
      </c>
      <c r="C50" t="s">
        <v>157</v>
      </c>
      <c r="D50" t="s">
        <v>158</v>
      </c>
      <c r="E50" t="s">
        <v>158</v>
      </c>
      <c r="F50">
        <v>800</v>
      </c>
      <c r="I50" t="s">
        <v>13</v>
      </c>
      <c r="K50">
        <v>49</v>
      </c>
      <c r="M50">
        <f t="shared" si="0"/>
        <v>174</v>
      </c>
    </row>
    <row r="51" spans="1:13" ht="15.6" x14ac:dyDescent="0.3">
      <c r="A51">
        <v>9971106613</v>
      </c>
      <c r="B51" t="s">
        <v>159</v>
      </c>
      <c r="C51" t="s">
        <v>160</v>
      </c>
      <c r="D51" t="s">
        <v>161</v>
      </c>
      <c r="E51" t="s">
        <v>162</v>
      </c>
      <c r="F51">
        <v>800</v>
      </c>
      <c r="I51" t="s">
        <v>13</v>
      </c>
      <c r="K51">
        <v>50</v>
      </c>
      <c r="M51">
        <f t="shared" si="0"/>
        <v>174</v>
      </c>
    </row>
    <row r="52" spans="1:13" ht="15.6" x14ac:dyDescent="0.3">
      <c r="A52">
        <v>9972015409</v>
      </c>
      <c r="B52" t="s">
        <v>163</v>
      </c>
      <c r="C52" t="s">
        <v>164</v>
      </c>
      <c r="D52" t="s">
        <v>68</v>
      </c>
      <c r="E52" t="s">
        <v>165</v>
      </c>
      <c r="F52">
        <v>400</v>
      </c>
      <c r="I52" t="s">
        <v>13</v>
      </c>
      <c r="K52">
        <v>51</v>
      </c>
      <c r="M52">
        <f t="shared" si="0"/>
        <v>87</v>
      </c>
    </row>
    <row r="53" spans="1:13" ht="15.6" x14ac:dyDescent="0.3">
      <c r="A53">
        <v>9972029110</v>
      </c>
      <c r="B53" t="s">
        <v>166</v>
      </c>
      <c r="C53" t="s">
        <v>84</v>
      </c>
      <c r="D53" t="s">
        <v>167</v>
      </c>
      <c r="E53" t="s">
        <v>168</v>
      </c>
      <c r="F53">
        <v>450</v>
      </c>
      <c r="I53" t="s">
        <v>13</v>
      </c>
      <c r="K53">
        <v>52</v>
      </c>
      <c r="M53">
        <f t="shared" si="0"/>
        <v>97.875</v>
      </c>
    </row>
    <row r="54" spans="1:13" ht="15.6" x14ac:dyDescent="0.3">
      <c r="A54">
        <v>9972031112</v>
      </c>
      <c r="B54" t="s">
        <v>169</v>
      </c>
      <c r="C54" t="s">
        <v>170</v>
      </c>
      <c r="D54" t="s">
        <v>24</v>
      </c>
      <c r="E54" t="s">
        <v>171</v>
      </c>
      <c r="F54">
        <v>500</v>
      </c>
      <c r="I54" t="s">
        <v>13</v>
      </c>
      <c r="K54">
        <v>53</v>
      </c>
      <c r="M54">
        <f t="shared" si="0"/>
        <v>108.75</v>
      </c>
    </row>
    <row r="55" spans="1:13" ht="15.6" x14ac:dyDescent="0.3">
      <c r="A55">
        <v>9972063333</v>
      </c>
      <c r="B55" t="s">
        <v>172</v>
      </c>
      <c r="C55" t="s">
        <v>60</v>
      </c>
      <c r="D55" t="s">
        <v>97</v>
      </c>
      <c r="E55" t="s">
        <v>173</v>
      </c>
      <c r="F55">
        <v>475</v>
      </c>
      <c r="I55" t="s">
        <v>13</v>
      </c>
      <c r="K55">
        <v>54</v>
      </c>
      <c r="M55">
        <f t="shared" si="0"/>
        <v>103.3125</v>
      </c>
    </row>
    <row r="56" spans="1:13" ht="15.6" x14ac:dyDescent="0.3">
      <c r="A56">
        <v>9982049420</v>
      </c>
      <c r="B56" t="s">
        <v>174</v>
      </c>
      <c r="C56" t="s">
        <v>32</v>
      </c>
      <c r="D56" t="s">
        <v>175</v>
      </c>
      <c r="E56" t="s">
        <v>176</v>
      </c>
      <c r="F56">
        <v>550</v>
      </c>
      <c r="I56" t="s">
        <v>13</v>
      </c>
      <c r="K56">
        <v>55</v>
      </c>
      <c r="M56">
        <f t="shared" si="0"/>
        <v>119.625</v>
      </c>
    </row>
    <row r="57" spans="1:13" ht="15.6" x14ac:dyDescent="0.3">
      <c r="A57">
        <v>9982053179</v>
      </c>
      <c r="B57" t="s">
        <v>177</v>
      </c>
      <c r="C57" t="s">
        <v>175</v>
      </c>
      <c r="D57" t="s">
        <v>24</v>
      </c>
      <c r="E57" t="s">
        <v>178</v>
      </c>
      <c r="F57">
        <v>950</v>
      </c>
      <c r="I57" t="s">
        <v>13</v>
      </c>
      <c r="K57">
        <v>56</v>
      </c>
      <c r="M57">
        <f t="shared" si="0"/>
        <v>206.625</v>
      </c>
    </row>
    <row r="58" spans="1:13" ht="15.6" x14ac:dyDescent="0.3">
      <c r="A58">
        <v>9992007898</v>
      </c>
      <c r="B58" t="s">
        <v>179</v>
      </c>
      <c r="C58" t="s">
        <v>180</v>
      </c>
      <c r="D58" t="s">
        <v>181</v>
      </c>
      <c r="E58" t="s">
        <v>182</v>
      </c>
      <c r="F58">
        <v>550</v>
      </c>
      <c r="I58" t="s">
        <v>13</v>
      </c>
      <c r="K58">
        <v>57</v>
      </c>
      <c r="M58">
        <f t="shared" si="0"/>
        <v>119.625</v>
      </c>
    </row>
    <row r="59" spans="1:13" ht="15.6" x14ac:dyDescent="0.3">
      <c r="A59">
        <v>9992013105</v>
      </c>
      <c r="B59" t="s">
        <v>183</v>
      </c>
      <c r="C59" t="s">
        <v>184</v>
      </c>
      <c r="D59" t="s">
        <v>185</v>
      </c>
      <c r="E59" t="s">
        <v>186</v>
      </c>
      <c r="F59">
        <v>528</v>
      </c>
      <c r="I59" t="s">
        <v>13</v>
      </c>
      <c r="K59">
        <v>58</v>
      </c>
      <c r="M59">
        <f t="shared" si="0"/>
        <v>114.84</v>
      </c>
    </row>
    <row r="60" spans="1:13" ht="15.6" x14ac:dyDescent="0.3">
      <c r="A60" s="3">
        <v>9992040281</v>
      </c>
      <c r="B60" s="3" t="s">
        <v>187</v>
      </c>
      <c r="C60" s="3" t="s">
        <v>71</v>
      </c>
      <c r="D60" s="3" t="s">
        <v>97</v>
      </c>
      <c r="E60" s="3" t="s">
        <v>188</v>
      </c>
      <c r="F60" s="3">
        <v>475</v>
      </c>
      <c r="G60" s="3"/>
      <c r="H60" s="3"/>
      <c r="I60" s="3" t="s">
        <v>13</v>
      </c>
      <c r="J60" s="3"/>
      <c r="K60" s="3">
        <v>59</v>
      </c>
      <c r="L60" s="3"/>
      <c r="M60" s="3">
        <f>F60*19%</f>
        <v>90.25</v>
      </c>
    </row>
    <row r="61" spans="1:13" ht="15.6" x14ac:dyDescent="0.3">
      <c r="A61">
        <v>9992047615</v>
      </c>
      <c r="B61" t="s">
        <v>189</v>
      </c>
      <c r="C61" t="s">
        <v>190</v>
      </c>
      <c r="D61" t="s">
        <v>180</v>
      </c>
      <c r="E61" t="s">
        <v>191</v>
      </c>
      <c r="F61" s="1">
        <v>550</v>
      </c>
      <c r="G61" s="1"/>
      <c r="H61" s="1"/>
      <c r="I61" s="1" t="s">
        <v>13</v>
      </c>
      <c r="J61" s="1"/>
      <c r="K61" s="1">
        <v>60</v>
      </c>
      <c r="L61" s="1"/>
      <c r="M61" s="1">
        <f t="shared" si="0"/>
        <v>119.625</v>
      </c>
    </row>
    <row r="62" spans="1:13" x14ac:dyDescent="0.3">
      <c r="F62" s="2">
        <f>SUM(F2:F61)</f>
        <v>42550</v>
      </c>
      <c r="G62" s="2"/>
      <c r="H62" s="2"/>
      <c r="I62" s="2"/>
      <c r="J62" s="2"/>
      <c r="K62" s="2"/>
      <c r="L62" s="2"/>
      <c r="M62" s="4">
        <f>SUM(M2:M61)</f>
        <v>9241.5625</v>
      </c>
    </row>
  </sheetData>
  <pageMargins left="0.7" right="0.7" top="0.75" bottom="0.75" header="0.3" footer="0.3"/>
  <ignoredErrors>
    <ignoredError sqref="A1:I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Shahd  Zghoul</cp:lastModifiedBy>
  <dcterms:modified xsi:type="dcterms:W3CDTF">2026-06-15T08:30:52Z</dcterms:modified>
</cp:coreProperties>
</file>